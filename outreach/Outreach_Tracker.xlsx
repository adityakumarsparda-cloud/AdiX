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Dashboard" sheetId="2" state="visible" r:id="rId2"/>
    <sheet name="Do Not Contact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D5C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1F3D5C"/>
      <sz val="12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0" customWidth="1" min="4" max="4"/>
    <col width="14" customWidth="1" min="5" max="5"/>
    <col width="14" customWidth="1" min="6" max="6"/>
    <col width="17" customWidth="1" min="7" max="7"/>
    <col width="22" customWidth="1" min="8" max="8"/>
    <col width="32" customWidth="1" min="9" max="9"/>
    <col width="26" customWidth="1" min="10" max="10"/>
    <col width="10" customWidth="1" min="11" max="11"/>
    <col width="24" customWidth="1" min="12" max="12"/>
    <col width="38" customWidth="1" min="13" max="13"/>
    <col width="11" customWidth="1" min="14" max="14"/>
    <col width="11" customWidth="1" min="15" max="15"/>
    <col width="12" customWidth="1" min="16" max="16"/>
    <col width="10" customWidth="1" min="17" max="17"/>
    <col width="13" customWidth="1" min="18" max="18"/>
    <col width="13" customWidth="1" min="19" max="19"/>
    <col width="16" customWidth="1" min="20" max="20"/>
    <col width="10" customWidth="1" min="21" max="21"/>
    <col width="13" customWidth="1" min="22" max="22"/>
    <col width="17" customWidth="1" min="23" max="23"/>
    <col width="52" customWidth="1" min="24" max="24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Industry</t>
        </is>
      </c>
      <c r="E1" s="1" t="inlineStr">
        <is>
          <t>Company Stage</t>
        </is>
      </c>
      <c r="F1" s="1" t="inlineStr">
        <is>
          <t>Location</t>
        </is>
      </c>
      <c r="G1" s="1" t="inlineStr">
        <is>
          <t>Contact Name</t>
        </is>
      </c>
      <c r="H1" s="1" t="inlineStr">
        <is>
          <t>Contact Designation</t>
        </is>
      </c>
      <c r="I1" s="1" t="inlineStr">
        <is>
          <t>Contact Email</t>
        </is>
      </c>
      <c r="J1" s="1" t="inlineStr">
        <is>
          <t>Contact Source</t>
        </is>
      </c>
      <c r="K1" s="1" t="inlineStr">
        <is>
          <t>Warm/Cold</t>
        </is>
      </c>
      <c r="L1" s="1" t="inlineStr">
        <is>
          <t>Target Role</t>
        </is>
      </c>
      <c r="M1" s="1" t="inlineStr">
        <is>
          <t>Email Subject</t>
        </is>
      </c>
      <c r="N1" s="1" t="inlineStr">
        <is>
          <t>Email Sent</t>
        </is>
      </c>
      <c r="O1" s="1" t="inlineStr">
        <is>
          <t>Date Sent</t>
        </is>
      </c>
      <c r="P1" s="1" t="inlineStr">
        <is>
          <t>CV Attached</t>
        </is>
      </c>
      <c r="Q1" s="1" t="inlineStr">
        <is>
          <t>Response</t>
        </is>
      </c>
      <c r="R1" s="1" t="inlineStr">
        <is>
          <t>Response Date</t>
        </is>
      </c>
      <c r="S1" s="1" t="inlineStr">
        <is>
          <t>Follow-up Date</t>
        </is>
      </c>
      <c r="T1" s="1" t="inlineStr">
        <is>
          <t>Follow-up Status</t>
        </is>
      </c>
      <c r="U1" s="1" t="inlineStr">
        <is>
          <t>Interview</t>
        </is>
      </c>
      <c r="V1" s="1" t="inlineStr">
        <is>
          <t>Interview Date</t>
        </is>
      </c>
      <c r="W1" s="1" t="inlineStr">
        <is>
          <t>Application Status</t>
        </is>
      </c>
      <c r="X1" s="1" t="inlineStr">
        <is>
          <t>Notes</t>
        </is>
      </c>
    </row>
    <row r="2">
      <c r="A2" s="2" t="inlineStr">
        <is>
          <t>20-Sep-2026</t>
        </is>
      </c>
      <c r="B2" s="2" t="inlineStr">
        <is>
          <t>MoreTasks</t>
        </is>
      </c>
      <c r="C2" s="2" t="inlineStr">
        <is>
          <t>moretasks.com</t>
        </is>
      </c>
      <c r="D2" s="2" t="inlineStr">
        <is>
          <t>Business Services / Ops</t>
        </is>
      </c>
      <c r="E2" s="2" t="inlineStr">
        <is>
          <t>Growth</t>
        </is>
      </c>
      <c r="F2" s="2" t="inlineStr">
        <is>
          <t>Delhi NCR</t>
        </is>
      </c>
      <c r="G2" s="2" t="inlineStr">
        <is>
          <t>Gauri Chaturvedi</t>
        </is>
      </c>
      <c r="H2" s="2" t="inlineStr">
        <is>
          <t>Talent Acquisition</t>
        </is>
      </c>
      <c r="I2" s="2" t="inlineStr">
        <is>
          <t>gauri.chaturvedi@moretasks.com</t>
        </is>
      </c>
      <c r="J2" s="2" t="inlineStr">
        <is>
          <t>Gmail - inbound May 2026</t>
        </is>
      </c>
      <c r="K2" s="2" t="inlineStr">
        <is>
          <t>Warm</t>
        </is>
      </c>
      <c r="L2" s="2" t="inlineStr">
        <is>
          <t>Operations Manager</t>
        </is>
      </c>
      <c r="M2" s="2" t="inlineStr"/>
      <c r="N2" s="2" t="inlineStr">
        <is>
          <t>Yes</t>
        </is>
      </c>
      <c r="O2" s="2" t="inlineStr">
        <is>
          <t>20-Sep-2026</t>
        </is>
      </c>
      <c r="P2" s="2" t="inlineStr">
        <is>
          <t>Yes</t>
        </is>
      </c>
      <c r="Q2" s="2" t="inlineStr"/>
      <c r="R2" s="2" t="inlineStr"/>
      <c r="S2" s="2" t="inlineStr">
        <is>
          <t>28-Sep-2026</t>
        </is>
      </c>
      <c r="T2" s="2" t="inlineStr">
        <is>
          <t>Not started</t>
        </is>
      </c>
      <c r="U2" s="2" t="inlineStr">
        <is>
          <t>No</t>
        </is>
      </c>
      <c r="V2" s="2" t="inlineStr"/>
      <c r="W2" s="2" t="inlineStr">
        <is>
          <t>Sent</t>
        </is>
      </c>
      <c r="X2" s="3" t="inlineStr">
        <is>
          <t>P1. Chased twice for Business Ops Associate, left callback 9205888799. Also cc: priyanshi.agarwal@moretasks.com, somya.devvanshi@moretasks.com</t>
        </is>
      </c>
    </row>
    <row r="3">
      <c r="A3" s="2" t="inlineStr">
        <is>
          <t>20-Sep-2026</t>
        </is>
      </c>
      <c r="B3" s="2" t="inlineStr">
        <is>
          <t>C11 Aura</t>
        </is>
      </c>
      <c r="C3" s="2" t="inlineStr"/>
      <c r="D3" s="2" t="inlineStr">
        <is>
          <t>Consumer / Retail</t>
        </is>
      </c>
      <c r="E3" s="2" t="inlineStr">
        <is>
          <t>Early</t>
        </is>
      </c>
      <c r="F3" s="2" t="inlineStr">
        <is>
          <t>Kharar, Mohali</t>
        </is>
      </c>
      <c r="G3" s="2" t="inlineStr">
        <is>
          <t>Navjot Kaur</t>
        </is>
      </c>
      <c r="H3" s="2" t="inlineStr">
        <is>
          <t>Recruiter</t>
        </is>
      </c>
      <c r="I3" s="2" t="inlineStr">
        <is>
          <t>navjotkaurwork123@gmail.com</t>
        </is>
      </c>
      <c r="J3" s="2" t="inlineStr">
        <is>
          <t>Gmail - inbound Jul 2026</t>
        </is>
      </c>
      <c r="K3" s="2" t="inlineStr">
        <is>
          <t>Warm</t>
        </is>
      </c>
      <c r="L3" s="2" t="inlineStr">
        <is>
          <t>Operations Lead</t>
        </is>
      </c>
      <c r="M3" s="2" t="inlineStr"/>
      <c r="N3" s="2" t="inlineStr">
        <is>
          <t>Yes</t>
        </is>
      </c>
      <c r="O3" s="2" t="inlineStr">
        <is>
          <t>20-Sep-2026</t>
        </is>
      </c>
      <c r="P3" s="2" t="inlineStr">
        <is>
          <t>Yes</t>
        </is>
      </c>
      <c r="Q3" s="2" t="inlineStr"/>
      <c r="R3" s="2" t="inlineStr"/>
      <c r="S3" s="2" t="inlineStr">
        <is>
          <t>28-Sep-2026</t>
        </is>
      </c>
      <c r="T3" s="2" t="inlineStr">
        <is>
          <t>Not started</t>
        </is>
      </c>
      <c r="U3" s="2" t="inlineStr">
        <is>
          <t>No</t>
        </is>
      </c>
      <c r="V3" s="2" t="inlineStr"/>
      <c r="W3" s="2" t="inlineStr">
        <is>
          <t>Sent</t>
        </is>
      </c>
      <c r="X3" s="3" t="inlineStr">
        <is>
          <t>P1. Shortlisted for Ops Lead Round 2; interview missed (family emergency), they rescheduled 28 Jul. Closest role match to target.</t>
        </is>
      </c>
    </row>
    <row r="4">
      <c r="A4" s="2" t="inlineStr">
        <is>
          <t>20-Sep-2026</t>
        </is>
      </c>
      <c r="B4" s="2" t="inlineStr">
        <is>
          <t>The Bijou Box</t>
        </is>
      </c>
      <c r="C4" s="2" t="inlineStr">
        <is>
          <t>thebijoubox.in</t>
        </is>
      </c>
      <c r="D4" s="2" t="inlineStr">
        <is>
          <t>D2C / Jewellery</t>
        </is>
      </c>
      <c r="E4" s="2" t="inlineStr">
        <is>
          <t>Early</t>
        </is>
      </c>
      <c r="F4" s="2" t="inlineStr">
        <is>
          <t>Mumbai</t>
        </is>
      </c>
      <c r="G4" s="2" t="inlineStr">
        <is>
          <t>Hiring Team</t>
        </is>
      </c>
      <c r="H4" s="2" t="inlineStr">
        <is>
          <t>Founder / Hiring</t>
        </is>
      </c>
      <c r="I4" s="2" t="inlineStr">
        <is>
          <t>info@thebijoubox.in</t>
        </is>
      </c>
      <c r="J4" s="2" t="inlineStr">
        <is>
          <t>Gmail - inbound May 2026</t>
        </is>
      </c>
      <c r="K4" s="2" t="inlineStr">
        <is>
          <t>Warm</t>
        </is>
      </c>
      <c r="L4" s="2" t="inlineStr">
        <is>
          <t>E-commerce Operations</t>
        </is>
      </c>
      <c r="M4" s="2" t="inlineStr"/>
      <c r="N4" s="2" t="inlineStr">
        <is>
          <t>Yes</t>
        </is>
      </c>
      <c r="O4" s="2" t="inlineStr">
        <is>
          <t>20-Sep-2026</t>
        </is>
      </c>
      <c r="P4" s="2" t="inlineStr">
        <is>
          <t>Yes</t>
        </is>
      </c>
      <c r="Q4" s="2" t="inlineStr"/>
      <c r="R4" s="2" t="inlineStr"/>
      <c r="S4" s="2" t="inlineStr">
        <is>
          <t>28-Sep-2026</t>
        </is>
      </c>
      <c r="T4" s="2" t="inlineStr">
        <is>
          <t>Not started</t>
        </is>
      </c>
      <c r="U4" s="2" t="inlineStr">
        <is>
          <t>No</t>
        </is>
      </c>
      <c r="V4" s="2" t="inlineStr"/>
      <c r="W4" s="2" t="inlineStr">
        <is>
          <t>Sent</t>
        </is>
      </c>
      <c r="X4" s="3" t="inlineStr">
        <is>
          <t>P1. Said "CV aligns well with our requirements", booked a call, then went quiet. Requires Mumbai relocation.</t>
        </is>
      </c>
    </row>
    <row r="5">
      <c r="A5" s="2" t="inlineStr">
        <is>
          <t>20-Sep-2026</t>
        </is>
      </c>
      <c r="B5" s="2" t="inlineStr">
        <is>
          <t>Gudz</t>
        </is>
      </c>
      <c r="C5" s="2" t="inlineStr">
        <is>
          <t>gudz.in</t>
        </is>
      </c>
      <c r="D5" s="2" t="inlineStr">
        <is>
          <t>D2C / Consumer</t>
        </is>
      </c>
      <c r="E5" s="2" t="inlineStr">
        <is>
          <t>Early</t>
        </is>
      </c>
      <c r="F5" s="2" t="inlineStr">
        <is>
          <t>Gurugram (Sector 49)</t>
        </is>
      </c>
      <c r="G5" s="2" t="inlineStr">
        <is>
          <t>Aryaman</t>
        </is>
      </c>
      <c r="H5" s="2" t="inlineStr">
        <is>
          <t>Founder</t>
        </is>
      </c>
      <c r="I5" s="2" t="inlineStr">
        <is>
          <t>aryaman@gudz.in</t>
        </is>
      </c>
      <c r="J5" s="2" t="inlineStr">
        <is>
          <t>Gmail - inbound May 2026</t>
        </is>
      </c>
      <c r="K5" s="2" t="inlineStr">
        <is>
          <t>Warm</t>
        </is>
      </c>
      <c r="L5" s="2" t="inlineStr">
        <is>
          <t>Operations Manager</t>
        </is>
      </c>
      <c r="M5" s="2" t="inlineStr"/>
      <c r="N5" s="2" t="inlineStr">
        <is>
          <t>Yes</t>
        </is>
      </c>
      <c r="O5" s="2" t="inlineStr">
        <is>
          <t>20-Sep-2026</t>
        </is>
      </c>
      <c r="P5" s="2" t="inlineStr">
        <is>
          <t>Yes</t>
        </is>
      </c>
      <c r="Q5" s="2" t="inlineStr"/>
      <c r="R5" s="2" t="inlineStr"/>
      <c r="S5" s="2" t="inlineStr">
        <is>
          <t>28-Sep-2026</t>
        </is>
      </c>
      <c r="T5" s="2" t="inlineStr">
        <is>
          <t>Not started</t>
        </is>
      </c>
      <c r="U5" s="2" t="inlineStr">
        <is>
          <t>No</t>
        </is>
      </c>
      <c r="V5" s="2" t="inlineStr"/>
      <c r="W5" s="2" t="inlineStr">
        <is>
          <t>Sent</t>
        </is>
      </c>
      <c r="X5" s="3" t="inlineStr">
        <is>
          <t>P1. Replied same day, offered walk-in. Earlier role was fresher-level; re-approach at manager level. cc: darshan@gudz.in</t>
        </is>
      </c>
    </row>
    <row r="6">
      <c r="A6" s="2" t="inlineStr">
        <is>
          <t>20-Sep-2026</t>
        </is>
      </c>
      <c r="B6" s="2" t="inlineStr">
        <is>
          <t>Meesho</t>
        </is>
      </c>
      <c r="C6" s="2" t="inlineStr">
        <is>
          <t>meesho.com</t>
        </is>
      </c>
      <c r="D6" s="2" t="inlineStr">
        <is>
          <t>E-commerce Marketplace</t>
        </is>
      </c>
      <c r="E6" s="2" t="inlineStr">
        <is>
          <t>Established</t>
        </is>
      </c>
      <c r="F6" s="2" t="inlineStr">
        <is>
          <t>Panipat / NCR</t>
        </is>
      </c>
      <c r="G6" s="2" t="inlineStr">
        <is>
          <t>Sharukh Khan</t>
        </is>
      </c>
      <c r="H6" s="2" t="inlineStr">
        <is>
          <t>Recruiter</t>
        </is>
      </c>
      <c r="I6" s="2" t="inlineStr">
        <is>
          <t>sharukh.khan1@meesho.com</t>
        </is>
      </c>
      <c r="J6" s="2" t="inlineStr">
        <is>
          <t>Gmail - Apr/May 2026</t>
        </is>
      </c>
      <c r="K6" s="2" t="inlineStr">
        <is>
          <t>Warm</t>
        </is>
      </c>
      <c r="L6" s="2" t="inlineStr">
        <is>
          <t>Area Manager / Ops</t>
        </is>
      </c>
      <c r="M6" s="2" t="inlineStr"/>
      <c r="N6" s="2" t="inlineStr">
        <is>
          <t>Yes</t>
        </is>
      </c>
      <c r="O6" s="2" t="inlineStr">
        <is>
          <t>20-Sep-2026</t>
        </is>
      </c>
      <c r="P6" s="2" t="inlineStr">
        <is>
          <t>Yes</t>
        </is>
      </c>
      <c r="Q6" s="2" t="inlineStr"/>
      <c r="R6" s="2" t="inlineStr"/>
      <c r="S6" s="2" t="inlineStr">
        <is>
          <t>28-Sep-2026</t>
        </is>
      </c>
      <c r="T6" s="2" t="inlineStr">
        <is>
          <t>Not started</t>
        </is>
      </c>
      <c r="U6" s="2" t="inlineStr">
        <is>
          <t>No</t>
        </is>
      </c>
      <c r="V6" s="2" t="inlineStr"/>
      <c r="W6" s="2" t="inlineStr">
        <is>
          <t>Sent</t>
        </is>
      </c>
      <c r="X6" s="3" t="inlineStr">
        <is>
          <t>P1. Area Manager process was live via mynexthire; asked for update, no reply. Worth reopening.</t>
        </is>
      </c>
    </row>
    <row r="7">
      <c r="A7" s="2" t="inlineStr">
        <is>
          <t>20-Sep-2026</t>
        </is>
      </c>
      <c r="B7" s="2" t="inlineStr">
        <is>
          <t>Elda</t>
        </is>
      </c>
      <c r="C7" s="2" t="inlineStr">
        <is>
          <t>getelda.com</t>
        </is>
      </c>
      <c r="D7" s="2" t="inlineStr">
        <is>
          <t>Consumer Internet</t>
        </is>
      </c>
      <c r="E7" s="2" t="inlineStr">
        <is>
          <t>Early</t>
        </is>
      </c>
      <c r="F7" s="2" t="inlineStr"/>
      <c r="G7" s="2" t="inlineStr">
        <is>
          <t>Jayant</t>
        </is>
      </c>
      <c r="H7" s="2" t="inlineStr">
        <is>
          <t>Founder</t>
        </is>
      </c>
      <c r="I7" s="2" t="inlineStr">
        <is>
          <t>jayant@getelda.com</t>
        </is>
      </c>
      <c r="J7" s="2" t="inlineStr">
        <is>
          <t>Gmail - inbound Jul 2026</t>
        </is>
      </c>
      <c r="K7" s="2" t="inlineStr">
        <is>
          <t>Warm</t>
        </is>
      </c>
      <c r="L7" s="2" t="inlineStr">
        <is>
          <t>Business Operations</t>
        </is>
      </c>
      <c r="M7" s="2" t="inlineStr"/>
      <c r="N7" s="2" t="inlineStr">
        <is>
          <t>Yes</t>
        </is>
      </c>
      <c r="O7" s="2" t="inlineStr">
        <is>
          <t>20-Sep-2026</t>
        </is>
      </c>
      <c r="P7" s="2" t="inlineStr">
        <is>
          <t>Yes</t>
        </is>
      </c>
      <c r="Q7" s="2" t="inlineStr"/>
      <c r="R7" s="2" t="inlineStr"/>
      <c r="S7" s="2" t="inlineStr">
        <is>
          <t>28-Sep-2026</t>
        </is>
      </c>
      <c r="T7" s="2" t="inlineStr">
        <is>
          <t>Not started</t>
        </is>
      </c>
      <c r="U7" s="2" t="inlineStr">
        <is>
          <t>No</t>
        </is>
      </c>
      <c r="V7" s="2" t="inlineStr"/>
      <c r="W7" s="2" t="inlineStr">
        <is>
          <t>Sent</t>
        </is>
      </c>
      <c r="X7" s="3" t="inlineStr">
        <is>
          <t>P1. Sent Founder's Office JD in Jul 2026. Was intern-level; ask about full-time ops.</t>
        </is>
      </c>
    </row>
    <row r="8">
      <c r="A8" s="4" t="inlineStr"/>
      <c r="B8" s="4" t="inlineStr">
        <is>
          <t>Cameron SF</t>
        </is>
      </c>
      <c r="C8" s="4" t="inlineStr">
        <is>
          <t>cameronsf.com</t>
        </is>
      </c>
      <c r="D8" s="4" t="inlineStr">
        <is>
          <t>D2C / Consumer</t>
        </is>
      </c>
      <c r="E8" s="4" t="inlineStr">
        <is>
          <t>Early</t>
        </is>
      </c>
      <c r="F8" s="4" t="inlineStr"/>
      <c r="G8" s="4" t="inlineStr">
        <is>
          <t>Justin</t>
        </is>
      </c>
      <c r="H8" s="4" t="inlineStr">
        <is>
          <t>Founder</t>
        </is>
      </c>
      <c r="I8" s="4" t="inlineStr">
        <is>
          <t>justin@cameronsf.com</t>
        </is>
      </c>
      <c r="J8" s="4" t="inlineStr">
        <is>
          <t>Gmail - outbound May 2026</t>
        </is>
      </c>
      <c r="K8" s="4" t="inlineStr">
        <is>
          <t>Cold</t>
        </is>
      </c>
      <c r="L8" s="4" t="inlineStr">
        <is>
          <t>Operations Manager</t>
        </is>
      </c>
      <c r="M8" s="4" t="inlineStr"/>
      <c r="N8" s="4" t="inlineStr">
        <is>
          <t>No</t>
        </is>
      </c>
      <c r="O8" s="4" t="inlineStr"/>
      <c r="P8" s="4" t="inlineStr"/>
      <c r="Q8" s="4" t="inlineStr"/>
      <c r="R8" s="4" t="inlineStr"/>
      <c r="S8" s="4" t="inlineStr"/>
      <c r="T8" s="4" t="inlineStr">
        <is>
          <t>Not started</t>
        </is>
      </c>
      <c r="U8" s="4" t="inlineStr">
        <is>
          <t>No</t>
        </is>
      </c>
      <c r="V8" s="4" t="inlineStr"/>
      <c r="W8" s="4" t="inlineStr">
        <is>
          <t>Ready to Send</t>
        </is>
      </c>
      <c r="X8" s="5" t="inlineStr">
        <is>
          <t>P3. Applied for Operations Manager May 2026, no reply. Verify company still active before re-sending.</t>
        </is>
      </c>
    </row>
    <row r="9">
      <c r="A9" s="4" t="inlineStr"/>
      <c r="B9" s="4" t="inlineStr">
        <is>
          <t>Zoomuv</t>
        </is>
      </c>
      <c r="C9" s="4" t="inlineStr">
        <is>
          <t>zoomuv.com</t>
        </is>
      </c>
      <c r="D9" s="4" t="inlineStr">
        <is>
          <t>Logistics / Mobility</t>
        </is>
      </c>
      <c r="E9" s="4" t="inlineStr">
        <is>
          <t>Early</t>
        </is>
      </c>
      <c r="F9" s="4" t="inlineStr"/>
      <c r="G9" s="4" t="inlineStr">
        <is>
          <t>Dheeraj Gupta</t>
        </is>
      </c>
      <c r="H9" s="4" t="inlineStr">
        <is>
          <t>Founder</t>
        </is>
      </c>
      <c r="I9" s="4" t="inlineStr">
        <is>
          <t>dheeraj@zoomuv.com</t>
        </is>
      </c>
      <c r="J9" s="4" t="inlineStr">
        <is>
          <t>Gmail - outbound May 2026</t>
        </is>
      </c>
      <c r="K9" s="4" t="inlineStr">
        <is>
          <t>Cold</t>
        </is>
      </c>
      <c r="L9" s="4" t="inlineStr">
        <is>
          <t>Operations Executive</t>
        </is>
      </c>
      <c r="M9" s="4" t="inlineStr"/>
      <c r="N9" s="4" t="inlineStr">
        <is>
          <t>No</t>
        </is>
      </c>
      <c r="O9" s="4" t="inlineStr"/>
      <c r="P9" s="4" t="inlineStr"/>
      <c r="Q9" s="4" t="inlineStr"/>
      <c r="R9" s="4" t="inlineStr"/>
      <c r="S9" s="4" t="inlineStr"/>
      <c r="T9" s="4" t="inlineStr">
        <is>
          <t>Not started</t>
        </is>
      </c>
      <c r="U9" s="4" t="inlineStr">
        <is>
          <t>No</t>
        </is>
      </c>
      <c r="V9" s="4" t="inlineStr"/>
      <c r="W9" s="4" t="inlineStr">
        <is>
          <t>Ready to Send</t>
        </is>
      </c>
      <c r="X9" s="5" t="inlineStr">
        <is>
          <t>P3. Applied May 2026, no reply.</t>
        </is>
      </c>
    </row>
    <row r="10">
      <c r="A10" s="4" t="inlineStr">
        <is>
          <t>20-Sep-2026</t>
        </is>
      </c>
      <c r="B10" s="4" t="inlineStr">
        <is>
          <t>Ugaoo</t>
        </is>
      </c>
      <c r="C10" s="4" t="inlineStr">
        <is>
          <t>ugaoo.com</t>
        </is>
      </c>
      <c r="D10" s="4" t="inlineStr">
        <is>
          <t>D2C / Plants</t>
        </is>
      </c>
      <c r="E10" s="4" t="inlineStr">
        <is>
          <t>Growth</t>
        </is>
      </c>
      <c r="F10" s="4" t="inlineStr">
        <is>
          <t>Pune</t>
        </is>
      </c>
      <c r="G10" s="4" t="inlineStr">
        <is>
          <t>Shubham S</t>
        </is>
      </c>
      <c r="H10" s="4" t="inlineStr">
        <is>
          <t>Hiring Manager</t>
        </is>
      </c>
      <c r="I10" s="4" t="inlineStr">
        <is>
          <t>shubham.s@ugaoo.com</t>
        </is>
      </c>
      <c r="J10" s="4" t="inlineStr">
        <is>
          <t>Gmail - outbound May 2026</t>
        </is>
      </c>
      <c r="K10" s="4" t="inlineStr">
        <is>
          <t>Cold</t>
        </is>
      </c>
      <c r="L10" s="4" t="inlineStr">
        <is>
          <t>Operations Manager</t>
        </is>
      </c>
      <c r="M10" s="4" t="inlineStr"/>
      <c r="N10" s="4" t="inlineStr">
        <is>
          <t>Yes</t>
        </is>
      </c>
      <c r="O10" s="4" t="inlineStr">
        <is>
          <t>20-Sep-2026</t>
        </is>
      </c>
      <c r="P10" s="4" t="inlineStr">
        <is>
          <t>Yes</t>
        </is>
      </c>
      <c r="Q10" s="4" t="inlineStr"/>
      <c r="R10" s="4" t="inlineStr"/>
      <c r="S10" s="4" t="inlineStr">
        <is>
          <t>28-Sep-2026</t>
        </is>
      </c>
      <c r="T10" s="4" t="inlineStr">
        <is>
          <t>Not started</t>
        </is>
      </c>
      <c r="U10" s="4" t="inlineStr">
        <is>
          <t>No</t>
        </is>
      </c>
      <c r="V10" s="4" t="inlineStr"/>
      <c r="W10" s="4" t="inlineStr">
        <is>
          <t>Sent</t>
        </is>
      </c>
      <c r="X10" s="5" t="inlineStr">
        <is>
          <t>P2. Applied for Manager - Process Excellence May 2026. Established D2C, strong fit.</t>
        </is>
      </c>
    </row>
    <row r="11">
      <c r="A11" s="4" t="inlineStr"/>
      <c r="B11" s="4" t="inlineStr">
        <is>
          <t>Samplify</t>
        </is>
      </c>
      <c r="C11" s="4" t="inlineStr">
        <is>
          <t>gosamplify.com</t>
        </is>
      </c>
      <c r="D11" s="4" t="inlineStr">
        <is>
          <t>D2C / Sampling</t>
        </is>
      </c>
      <c r="E11" s="4" t="inlineStr">
        <is>
          <t>Early</t>
        </is>
      </c>
      <c r="F11" s="4" t="inlineStr"/>
      <c r="G11" s="4" t="inlineStr">
        <is>
          <t>Hemlata</t>
        </is>
      </c>
      <c r="H11" s="4" t="inlineStr">
        <is>
          <t>HR</t>
        </is>
      </c>
      <c r="I11" s="4" t="inlineStr">
        <is>
          <t>hemlata@gosamplify.com</t>
        </is>
      </c>
      <c r="J11" s="4" t="inlineStr">
        <is>
          <t>Gmail - outbound May 2026</t>
        </is>
      </c>
      <c r="K11" s="4" t="inlineStr">
        <is>
          <t>Cold</t>
        </is>
      </c>
      <c r="L11" s="4" t="inlineStr">
        <is>
          <t>Team Lead - Operations</t>
        </is>
      </c>
      <c r="M11" s="4" t="inlineStr"/>
      <c r="N11" s="4" t="inlineStr">
        <is>
          <t>No</t>
        </is>
      </c>
      <c r="O11" s="4" t="inlineStr"/>
      <c r="P11" s="4" t="inlineStr"/>
      <c r="Q11" s="4" t="inlineStr"/>
      <c r="R11" s="4" t="inlineStr"/>
      <c r="S11" s="4" t="inlineStr"/>
      <c r="T11" s="4" t="inlineStr">
        <is>
          <t>Not started</t>
        </is>
      </c>
      <c r="U11" s="4" t="inlineStr">
        <is>
          <t>No</t>
        </is>
      </c>
      <c r="V11" s="4" t="inlineStr"/>
      <c r="W11" s="4" t="inlineStr">
        <is>
          <t>Ready to Send</t>
        </is>
      </c>
      <c r="X11" s="5" t="inlineStr">
        <is>
          <t>P2. Applied May 2026, no reply.</t>
        </is>
      </c>
    </row>
    <row r="12">
      <c r="A12" s="4" t="inlineStr"/>
      <c r="B12" s="4" t="inlineStr">
        <is>
          <t>goPortals</t>
        </is>
      </c>
      <c r="C12" s="4" t="inlineStr">
        <is>
          <t>goportals.co</t>
        </is>
      </c>
      <c r="D12" s="4" t="inlineStr">
        <is>
          <t>E-commerce</t>
        </is>
      </c>
      <c r="E12" s="4" t="inlineStr">
        <is>
          <t>Early</t>
        </is>
      </c>
      <c r="F12" s="4" t="inlineStr"/>
      <c r="G12" s="4" t="inlineStr">
        <is>
          <t>Sahil Gupta</t>
        </is>
      </c>
      <c r="H12" s="4" t="inlineStr">
        <is>
          <t>Founder</t>
        </is>
      </c>
      <c r="I12" s="4" t="inlineStr">
        <is>
          <t>sahilgupta@goportals.co</t>
        </is>
      </c>
      <c r="J12" s="4" t="inlineStr">
        <is>
          <t>Gmail - outbound May 2026</t>
        </is>
      </c>
      <c r="K12" s="4" t="inlineStr">
        <is>
          <t>Cold</t>
        </is>
      </c>
      <c r="L12" s="4" t="inlineStr">
        <is>
          <t>E-commerce Operations</t>
        </is>
      </c>
      <c r="M12" s="4" t="inlineStr"/>
      <c r="N12" s="4" t="inlineStr">
        <is>
          <t>No</t>
        </is>
      </c>
      <c r="O12" s="4" t="inlineStr"/>
      <c r="P12" s="4" t="inlineStr"/>
      <c r="Q12" s="4" t="inlineStr"/>
      <c r="R12" s="4" t="inlineStr"/>
      <c r="S12" s="4" t="inlineStr"/>
      <c r="T12" s="4" t="inlineStr">
        <is>
          <t>Not started</t>
        </is>
      </c>
      <c r="U12" s="4" t="inlineStr">
        <is>
          <t>No</t>
        </is>
      </c>
      <c r="V12" s="4" t="inlineStr"/>
      <c r="W12" s="4" t="inlineStr">
        <is>
          <t>Ready to Send</t>
        </is>
      </c>
      <c r="X12" s="5" t="inlineStr">
        <is>
          <t>P3. Applied May 2026, no reply.</t>
        </is>
      </c>
    </row>
    <row r="13">
      <c r="A13" s="4" t="inlineStr"/>
      <c r="B13" s="4" t="inlineStr">
        <is>
          <t>CitizenEarth</t>
        </is>
      </c>
      <c r="C13" s="4" t="inlineStr">
        <is>
          <t>citizenearth.in</t>
        </is>
      </c>
      <c r="D13" s="4" t="inlineStr">
        <is>
          <t>D2C / Sustainability</t>
        </is>
      </c>
      <c r="E13" s="4" t="inlineStr">
        <is>
          <t>Early</t>
        </is>
      </c>
      <c r="F13" s="4" t="inlineStr"/>
      <c r="G13" s="4" t="inlineStr">
        <is>
          <t>Hiring Team</t>
        </is>
      </c>
      <c r="H13" s="4" t="inlineStr">
        <is>
          <t>HR</t>
        </is>
      </c>
      <c r="I13" s="4" t="inlineStr">
        <is>
          <t>hr@citizenearth.in</t>
        </is>
      </c>
      <c r="J13" s="4" t="inlineStr">
        <is>
          <t>Gmail - outbound May 2026</t>
        </is>
      </c>
      <c r="K13" s="4" t="inlineStr">
        <is>
          <t>Cold</t>
        </is>
      </c>
      <c r="L13" s="4" t="inlineStr">
        <is>
          <t>Operations Lead</t>
        </is>
      </c>
      <c r="M13" s="4" t="inlineStr"/>
      <c r="N13" s="4" t="inlineStr">
        <is>
          <t>No</t>
        </is>
      </c>
      <c r="O13" s="4" t="inlineStr"/>
      <c r="P13" s="4" t="inlineStr"/>
      <c r="Q13" s="4" t="inlineStr"/>
      <c r="R13" s="4" t="inlineStr"/>
      <c r="S13" s="4" t="inlineStr"/>
      <c r="T13" s="4" t="inlineStr">
        <is>
          <t>Not started</t>
        </is>
      </c>
      <c r="U13" s="4" t="inlineStr">
        <is>
          <t>No</t>
        </is>
      </c>
      <c r="V13" s="4" t="inlineStr"/>
      <c r="W13" s="4" t="inlineStr">
        <is>
          <t>Ready to Send</t>
        </is>
      </c>
      <c r="X13" s="5" t="inlineStr">
        <is>
          <t>P4. Generic HR alias. Applied May 2026, no reply.</t>
        </is>
      </c>
    </row>
    <row r="14">
      <c r="A14" s="4" t="inlineStr">
        <is>
          <t>20-Sep-2026</t>
        </is>
      </c>
      <c r="B14" s="4" t="inlineStr">
        <is>
          <t>iCARRY</t>
        </is>
      </c>
      <c r="C14" s="4" t="inlineStr">
        <is>
          <t>icarry.com</t>
        </is>
      </c>
      <c r="D14" s="4" t="inlineStr">
        <is>
          <t>Logistics / E-commerce</t>
        </is>
      </c>
      <c r="E14" s="4" t="inlineStr">
        <is>
          <t>Growth</t>
        </is>
      </c>
      <c r="F14" s="4" t="inlineStr"/>
      <c r="G14" s="4" t="inlineStr">
        <is>
          <t>Talent Team</t>
        </is>
      </c>
      <c r="H14" s="4" t="inlineStr">
        <is>
          <t>Talent</t>
        </is>
      </c>
      <c r="I14" s="4" t="inlineStr">
        <is>
          <t>Talents@icarry.com</t>
        </is>
      </c>
      <c r="J14" s="4" t="inlineStr">
        <is>
          <t>Gmail - outbound May 2026</t>
        </is>
      </c>
      <c r="K14" s="4" t="inlineStr">
        <is>
          <t>Cold</t>
        </is>
      </c>
      <c r="L14" s="4" t="inlineStr">
        <is>
          <t>Operations Manager</t>
        </is>
      </c>
      <c r="M14" s="4" t="inlineStr"/>
      <c r="N14" s="4" t="inlineStr">
        <is>
          <t>Yes</t>
        </is>
      </c>
      <c r="O14" s="4" t="inlineStr">
        <is>
          <t>20-Sep-2026</t>
        </is>
      </c>
      <c r="P14" s="4" t="inlineStr">
        <is>
          <t>Yes</t>
        </is>
      </c>
      <c r="Q14" s="4" t="inlineStr"/>
      <c r="R14" s="4" t="inlineStr"/>
      <c r="S14" s="4" t="inlineStr">
        <is>
          <t>28-Sep-2026</t>
        </is>
      </c>
      <c r="T14" s="4" t="inlineStr">
        <is>
          <t>Not started</t>
        </is>
      </c>
      <c r="U14" s="4" t="inlineStr">
        <is>
          <t>No</t>
        </is>
      </c>
      <c r="V14" s="4" t="inlineStr"/>
      <c r="W14" s="4" t="inlineStr">
        <is>
          <t>Sent</t>
        </is>
      </c>
      <c r="X14" s="5" t="inlineStr">
        <is>
          <t>P4. Generic alias. Logistics OS for emerging markets - good ops fit.</t>
        </is>
      </c>
    </row>
  </sheetData>
  <dataValidations count="8">
    <dataValidation sqref="W2:W400" showDropDown="0" showInputMessage="0" showErrorMessage="0" allowBlank="1" type="list">
      <formula1>"Researching,Ready to Send,Sent,Replied,Follow-up Required,Interview,Rejected,No Response,Closed"</formula1>
    </dataValidation>
    <dataValidation sqref="K2:K400" showDropDown="0" showInputMessage="0" showErrorMessage="0" allowBlank="1" type="list">
      <formula1>"Warm,Cold"</formula1>
    </dataValidation>
    <dataValidation sqref="N2:N400" showDropDown="0" showInputMessage="0" showErrorMessage="0" allowBlank="1" type="list">
      <formula1>"Yes,No"</formula1>
    </dataValidation>
    <dataValidation sqref="P2:P400" showDropDown="0" showInputMessage="0" showErrorMessage="0" allowBlank="1" type="list">
      <formula1>"Yes,No"</formula1>
    </dataValidation>
    <dataValidation sqref="Q2:Q400" showDropDown="0" showInputMessage="0" showErrorMessage="0" allowBlank="1" type="list">
      <formula1>"Yes,No"</formula1>
    </dataValidation>
    <dataValidation sqref="R2:R400" showDropDown="0" showInputMessage="0" showErrorMessage="0" allowBlank="1" type="list">
      <formula1>"Yes,No"</formula1>
    </dataValidation>
    <dataValidation sqref="T2:T400" showDropDown="0" showInputMessage="0" showErrorMessage="0" allowBlank="1" type="list">
      <formula1>"Not started,Due,Sent,Not needed"</formula1>
    </dataValidation>
    <dataValidation sqref="E2:E400" showDropDown="0" showInputMessage="0" showErrorMessage="0" allowBlank="1" type="list">
      <formula1>"Early,Growth,Established"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Outreach Dashboard</t>
        </is>
      </c>
    </row>
    <row r="2">
      <c r="A2" s="7" t="inlineStr">
        <is>
          <t>Counts refresh when the file is opened in Excel or Google Sheets.</t>
        </is>
      </c>
    </row>
    <row r="4">
      <c r="A4" s="8" t="inlineStr">
        <is>
          <t>Total rows in tracker</t>
        </is>
      </c>
      <c r="B4" s="9">
        <f>COUNTA(Outreach!B2:B400)</f>
        <v/>
      </c>
    </row>
    <row r="5">
      <c r="A5" s="8" t="inlineStr">
        <is>
          <t>Emails sent</t>
        </is>
      </c>
      <c r="B5" s="9">
        <f>COUNTIF(Outreach!N2:N400,"Yes")</f>
        <v/>
      </c>
    </row>
    <row r="6">
      <c r="A6" s="8" t="inlineStr">
        <is>
          <t>Warm contacts</t>
        </is>
      </c>
      <c r="B6" s="9">
        <f>COUNTIF(Outreach!K2:K400,"Warm")</f>
        <v/>
      </c>
    </row>
    <row r="7">
      <c r="A7" s="8" t="inlineStr">
        <is>
          <t>Cold contacts</t>
        </is>
      </c>
      <c r="B7" s="9">
        <f>COUNTIF(Outreach!K2:K400,"Cold")</f>
        <v/>
      </c>
    </row>
    <row r="8">
      <c r="A8" s="8" t="inlineStr">
        <is>
          <t>Responses received</t>
        </is>
      </c>
      <c r="B8" s="9">
        <f>COUNTIF(Outreach!Q2:Q400,"Yes")</f>
        <v/>
      </c>
    </row>
    <row r="9">
      <c r="A9" s="8" t="inlineStr">
        <is>
          <t>Interviews</t>
        </is>
      </c>
      <c r="B9" s="9">
        <f>COUNTIF(Outreach!U2:U400,"Yes")</f>
        <v/>
      </c>
    </row>
    <row r="10">
      <c r="A10" s="8" t="inlineStr">
        <is>
          <t>Follow-ups due</t>
        </is>
      </c>
      <c r="B10" s="9">
        <f>COUNTIF(Outreach!T2:T400,"Due")</f>
        <v/>
      </c>
    </row>
    <row r="11">
      <c r="A11" s="8" t="inlineStr">
        <is>
          <t>Ready to send</t>
        </is>
      </c>
      <c r="B11" s="9">
        <f>COUNTIF(Outreach!W2:W400,"Ready to Send")</f>
        <v/>
      </c>
    </row>
    <row r="12">
      <c r="A12" s="8" t="inlineStr">
        <is>
          <t>No response</t>
        </is>
      </c>
      <c r="B12" s="9">
        <f>COUNTIF(Outreach!W2:W400,"No Response")</f>
        <v/>
      </c>
    </row>
    <row r="13">
      <c r="A13" s="8" t="inlineStr">
        <is>
          <t>Response rate</t>
        </is>
      </c>
      <c r="B13" s="10">
        <f>IFERROR(COUNTIF(Outreach!Q2:Q400,"Yes")/COUNTIF(Outreach!N2:N400,"Yes"),0)</f>
        <v/>
      </c>
    </row>
    <row r="16">
      <c r="A16" s="8" t="inlineStr">
        <is>
          <t>Daily cap</t>
        </is>
      </c>
      <c r="B16" s="11" t="n">
        <v>20</v>
      </c>
      <c r="C16" s="7" t="inlineStr">
        <is>
          <t>Blue = edit this. Cap set by Aditya; Gmail free tier allows ~500 recipients/day.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4" customWidth="1" min="3" max="3"/>
  </cols>
  <sheetData>
    <row r="1">
      <c r="A1" s="12" t="inlineStr">
        <is>
          <t>Email</t>
        </is>
      </c>
      <c r="B1" s="12" t="inlineStr">
        <is>
          <t>Company</t>
        </is>
      </c>
      <c r="C1" s="12" t="inlineStr">
        <is>
          <t>Reason</t>
        </is>
      </c>
    </row>
    <row r="2">
      <c r="A2" s="5" t="inlineStr">
        <is>
          <t>reshma@techslash.com</t>
        </is>
      </c>
      <c r="B2" s="5" t="inlineStr">
        <is>
          <t>Techslash</t>
        </is>
      </c>
      <c r="C2" s="5" t="inlineStr">
        <is>
          <t>Likely bait. "Your TCS application is incomplete" via a redirect tracker; TCS does not recruit this way.</t>
        </is>
      </c>
    </row>
    <row r="3">
      <c r="A3" s="5" t="inlineStr">
        <is>
          <t>neha@advert.co.in</t>
        </is>
      </c>
      <c r="B3" s="5" t="inlineStr">
        <is>
          <t>Advert.co.in</t>
        </is>
      </c>
      <c r="C3" s="5" t="inlineStr">
        <is>
          <t>Likely bait. "Accenture is hiring" sent from an advertising domain.</t>
        </is>
      </c>
    </row>
    <row r="4">
      <c r="A4" s="5" t="inlineStr">
        <is>
          <t>eric@jobrightai.com</t>
        </is>
      </c>
      <c r="B4" s="5" t="inlineStr">
        <is>
          <t>JobRight AI</t>
        </is>
      </c>
      <c r="C4" s="5" t="inlineStr">
        <is>
          <t>Automated US job blasts, irrelevant to India ops roles.</t>
        </is>
      </c>
    </row>
    <row r="5">
      <c r="A5" s="5" t="inlineStr">
        <is>
          <t>johnbutler@thesearchlogixgroup.org</t>
        </is>
      </c>
      <c r="B5" s="5" t="inlineStr">
        <is>
          <t>SearchLogix Group</t>
        </is>
      </c>
      <c r="C5" s="5" t="inlineStr">
        <is>
          <t>Caution. Asked salary expectations then "before moving forward". Legitimate recruiters never charge candidates.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Outreach tracker - how to use</t>
        </is>
      </c>
    </row>
    <row r="2">
      <c r="A2" s="14" t="inlineStr"/>
    </row>
    <row r="3">
      <c r="A3" s="14" t="inlineStr">
        <is>
          <t>One row per contact, never per company - two people at one company are two rows.</t>
        </is>
      </c>
    </row>
    <row r="4">
      <c r="A4" s="14" t="inlineStr"/>
    </row>
    <row r="5">
      <c r="A5" s="15" t="inlineStr">
        <is>
          <t>Fill in as you go:</t>
        </is>
      </c>
    </row>
    <row r="6">
      <c r="A6" s="14" t="inlineStr">
        <is>
          <t xml:space="preserve">  Email Sent / Date Sent   - set the moment it actually goes out, not when drafted.</t>
        </is>
      </c>
    </row>
    <row r="7">
      <c r="A7" s="14" t="inlineStr">
        <is>
          <t xml:space="preserve">  Response / Response Date - Yes only for a human reply, not an autoresponder.</t>
        </is>
      </c>
    </row>
    <row r="8">
      <c r="A8" s="14" t="inlineStr">
        <is>
          <t xml:space="preserve">  Follow-up Date           - 5 to 7 working days after sending. Most replies come from the second email.</t>
        </is>
      </c>
    </row>
    <row r="9">
      <c r="A9" s="14" t="inlineStr">
        <is>
          <t xml:space="preserve">  Application Status       - Researching, Ready to Send, Sent, Replied, Follow-up Required,</t>
        </is>
      </c>
    </row>
    <row r="10">
      <c r="A10" s="14" t="inlineStr">
        <is>
          <t xml:space="preserve">                             Interview, Rejected, No Response, Closed.</t>
        </is>
      </c>
    </row>
    <row r="11">
      <c r="A11" s="14" t="inlineStr"/>
    </row>
    <row r="12">
      <c r="A12" s="15" t="inlineStr">
        <is>
          <t>Priority order (in Notes as P1-P4):</t>
        </is>
      </c>
    </row>
    <row r="13">
      <c r="A13" s="14" t="inlineStr">
        <is>
          <t xml:space="preserve">  P1  Existing warm contact - someone who already replied to Aditya.</t>
        </is>
      </c>
    </row>
    <row r="14">
      <c r="A14" s="14" t="inlineStr">
        <is>
          <t xml:space="preserve">  P2  Verified HR, recruiter or hiring manager.</t>
        </is>
      </c>
    </row>
    <row r="15">
      <c r="A15" s="14" t="inlineStr">
        <is>
          <t xml:space="preserve">  P3  Founder or co-founder at a smaller startup.</t>
        </is>
      </c>
    </row>
    <row r="16">
      <c r="A16" s="14" t="inlineStr">
        <is>
          <t xml:space="preserve">  P4  Generic company alias such as hr@ or info@ - lowest response rate.</t>
        </is>
      </c>
    </row>
    <row r="17">
      <c r="A17" s="14" t="inlineStr"/>
    </row>
    <row r="18">
      <c r="A18" s="15" t="inlineStr">
        <is>
          <t>Rules:</t>
        </is>
      </c>
    </row>
    <row r="19">
      <c r="A19" s="14" t="inlineStr">
        <is>
          <t xml:space="preserve">  Every address here came from a real message in Aditya's Gmail. None are guessed.</t>
        </is>
      </c>
    </row>
    <row r="20">
      <c r="A20" s="14" t="inlineStr">
        <is>
          <t xml:space="preserve">  Never add an address that has not been verified - a bounce is a spam signal.</t>
        </is>
      </c>
    </row>
    <row r="21">
      <c r="A21" s="14" t="inlineStr">
        <is>
          <t xml:space="preserve">  Max 20 new outreach emails per day.</t>
        </is>
      </c>
    </row>
    <row r="22">
      <c r="A22" s="14" t="inlineStr">
        <is>
          <t xml:space="preserve">  Never email the same person twice for the same role without a reply.</t>
        </is>
      </c>
    </row>
    <row r="23">
      <c r="A23" s="14" t="inlineStr">
        <is>
          <t xml:space="preserve">  Stop immediately if someone asks not to be contacted, and add them to Do Not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2026-08-23T08:27:18Z</dcterms:created>
  <dcterms:modified xsi:type="dcterms:W3CDTF">2026-09-20T16:16:00Z</dcterms:modified>
</cp:coreProperties>
</file>